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_data" sheetId="1" r:id="rId5"/>
    <sheet state="visible" name="Analysis" sheetId="2" r:id="rId6"/>
    <sheet state="visible" name="Dashboard" sheetId="3" r:id="rId7"/>
  </sheets>
  <definedNames>
    <definedName hidden="1" localSheetId="0" name="_xlnm._FilterDatabase">Order_data!$A$1:$A$21</definedName>
  </definedNames>
  <calcPr/>
</workbook>
</file>

<file path=xl/sharedStrings.xml><?xml version="1.0" encoding="utf-8"?>
<sst xmlns="http://schemas.openxmlformats.org/spreadsheetml/2006/main" count="114" uniqueCount="55">
  <si>
    <t>Order ID</t>
  </si>
  <si>
    <t>Order Date</t>
  </si>
  <si>
    <t>Product</t>
  </si>
  <si>
    <t>Category</t>
  </si>
  <si>
    <t>Quantity</t>
  </si>
  <si>
    <t>Unit Price</t>
  </si>
  <si>
    <t>Order Value</t>
  </si>
  <si>
    <t>Order Status</t>
  </si>
  <si>
    <t>ORD001</t>
  </si>
  <si>
    <t>Water Bottle</t>
  </si>
  <si>
    <t>Beverages</t>
  </si>
  <si>
    <t>Completed</t>
  </si>
  <si>
    <t>ORD002</t>
  </si>
  <si>
    <t>Notebook</t>
  </si>
  <si>
    <t>Stationery</t>
  </si>
  <si>
    <t>ORD003</t>
  </si>
  <si>
    <t>Pen</t>
  </si>
  <si>
    <t>Pending</t>
  </si>
  <si>
    <t>ORD004</t>
  </si>
  <si>
    <t>Processing</t>
  </si>
  <si>
    <t>ORD005</t>
  </si>
  <si>
    <t>Desk Organizer</t>
  </si>
  <si>
    <t>Office Supplies</t>
  </si>
  <si>
    <t>ORD006</t>
  </si>
  <si>
    <t>ORD007</t>
  </si>
  <si>
    <t>ORD008</t>
  </si>
  <si>
    <t>ORD009</t>
  </si>
  <si>
    <t>ORD010</t>
  </si>
  <si>
    <t>ORD011</t>
  </si>
  <si>
    <t>ORD012</t>
  </si>
  <si>
    <t>ORD013</t>
  </si>
  <si>
    <t>ORD014</t>
  </si>
  <si>
    <t>ORD015</t>
  </si>
  <si>
    <t>Metric</t>
  </si>
  <si>
    <t>ORD016</t>
  </si>
  <si>
    <t>ORD017</t>
  </si>
  <si>
    <t>ORD018</t>
  </si>
  <si>
    <t>ORD019</t>
  </si>
  <si>
    <t>Value</t>
  </si>
  <si>
    <t>ORD020</t>
  </si>
  <si>
    <t>Total Order Value</t>
  </si>
  <si>
    <t>Number of Status</t>
  </si>
  <si>
    <t>Total Orders</t>
  </si>
  <si>
    <t>Month</t>
  </si>
  <si>
    <t xml:space="preserve">Total Order Value </t>
  </si>
  <si>
    <t>desk Organizer</t>
  </si>
  <si>
    <t>Completed Orders</t>
  </si>
  <si>
    <t>Pending Orders</t>
  </si>
  <si>
    <t xml:space="preserve"> Processing Orders</t>
  </si>
  <si>
    <t>Total</t>
  </si>
  <si>
    <t>BUSINESS OPERATIONS DASHBOARD</t>
  </si>
  <si>
    <t>TOTAL ORDERS</t>
  </si>
  <si>
    <t>TOTAL ORDER VALUE</t>
  </si>
  <si>
    <t>COMPLETED</t>
  </si>
  <si>
    <t>PENDING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</si>
</sst>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m-yyyy"/>
    <numFmt numFmtId="165" formatCode="d-mmm-yyyy"/>
    <numFmt numFmtId="166" formatCode="M/d/yyyy"/>
    <numFmt numFmtId="167" formatCode="[$₹]#,##0.00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8.0"/>
      <color rgb="FFFFFFFF"/>
      <name val="Arial"/>
      <scheme val="minor"/>
    </font>
    <font>
      <sz val="20.0"/>
      <color rgb="FFFFFFFF"/>
      <name val="Arial"/>
      <scheme val="minor"/>
    </font>
    <font>
      <sz val="16.0"/>
      <color rgb="FFCFE2F3"/>
      <name val="Arial"/>
      <scheme val="minor"/>
    </font>
    <font>
      <sz val="16.0"/>
      <color rgb="FFFFFFFF"/>
      <name val="Arial"/>
      <scheme val="minor"/>
    </font>
    <font>
      <sz val="16.0"/>
      <color rgb="FFFF9900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3C78D8"/>
        <bgColor rgb="FF3C78D8"/>
      </patternFill>
    </fill>
    <fill>
      <patternFill patternType="solid">
        <fgColor rgb="FFC9DAF8"/>
        <bgColor rgb="FFC9DAF8"/>
      </patternFill>
    </fill>
    <fill>
      <patternFill patternType="solid">
        <fgColor rgb="FF6FA8DC"/>
        <bgColor rgb="FF6FA8DC"/>
      </patternFill>
    </fill>
    <fill>
      <patternFill patternType="solid">
        <fgColor rgb="FFFFD966"/>
        <bgColor rgb="FFFFD966"/>
      </patternFill>
    </fill>
    <fill>
      <patternFill patternType="solid">
        <fgColor rgb="FF6D9EEB"/>
        <bgColor rgb="FF6D9EEB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2" numFmtId="0" xfId="0" applyFont="1"/>
    <xf borderId="0" fillId="0" fontId="2" numFmtId="165" xfId="0" applyAlignment="1" applyFont="1" applyNumberFormat="1">
      <alignment readingOrder="0"/>
    </xf>
    <xf borderId="0" fillId="2" fontId="1" numFmtId="0" xfId="0" applyAlignment="1" applyFill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6" xfId="0" applyAlignment="1" applyFont="1" applyNumberFormat="1">
      <alignment readingOrder="0" shrinkToFit="0" vertical="center" wrapText="0"/>
    </xf>
    <xf borderId="0" fillId="0" fontId="2" numFmtId="0" xfId="0" applyFont="1"/>
    <xf borderId="0" fillId="3" fontId="3" numFmtId="0" xfId="0" applyAlignment="1" applyFill="1" applyFont="1">
      <alignment horizontal="center" readingOrder="0"/>
    </xf>
    <xf borderId="0" fillId="4" fontId="4" numFmtId="0" xfId="0" applyAlignment="1" applyFill="1" applyFont="1">
      <alignment horizontal="left" readingOrder="0"/>
    </xf>
    <xf borderId="0" fillId="5" fontId="5" numFmtId="0" xfId="0" applyAlignment="1" applyFill="1" applyFont="1">
      <alignment horizontal="center" readingOrder="0"/>
    </xf>
    <xf borderId="0" fillId="6" fontId="6" numFmtId="0" xfId="0" applyAlignment="1" applyFill="1" applyFont="1">
      <alignment horizontal="center" readingOrder="0"/>
    </xf>
    <xf borderId="0" fillId="5" fontId="5" numFmtId="0" xfId="0" applyAlignment="1" applyFill="1" applyFont="1">
      <alignment horizontal="center"/>
    </xf>
    <xf borderId="0" fillId="6" fontId="6" numFmtId="167" xfId="0" applyAlignment="1" applyFill="1" applyFont="1" applyNumberFormat="1">
      <alignment horizontal="center"/>
    </xf>
    <xf borderId="0" fillId="7" fontId="6" numFmtId="0" xfId="0" applyAlignment="1" applyFill="1" applyFont="1">
      <alignment horizontal="center" readingOrder="0"/>
    </xf>
    <xf borderId="0" fillId="8" fontId="7" numFmtId="0" xfId="0" applyAlignment="1" applyFill="1" applyFont="1">
      <alignment horizontal="center" readingOrder="0"/>
    </xf>
    <xf borderId="0" fillId="9" fontId="6" numFmtId="0" xfId="0" applyAlignment="1" applyFill="1" applyFont="1">
      <alignment horizontal="center"/>
    </xf>
    <xf borderId="0" fillId="8" fontId="7" numFmtId="0" xfId="0" applyAlignment="1" applyFill="1" applyFont="1">
      <alignment horizont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CDD9D4"/>
          <bgColor rgb="FFCDD9D4"/>
        </patternFill>
      </fill>
      <border/>
    </dxf>
  </dxfs>
  <tableStyles count="4">
    <tableStyle count="4" pivot="0" name="Analysi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Analysis-style 2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4" pivot="0" name="Analysis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nalysis-style 4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>
                <a:solidFill>
                  <a:srgbClr val="757575"/>
                </a:solidFill>
                <a:latin typeface="+mn-lt"/>
              </a:defRPr>
            </a:pPr>
            <a:r>
              <a:rPr b="1" i="1">
                <a:solidFill>
                  <a:srgbClr val="757575"/>
                </a:solidFill>
                <a:latin typeface="+mn-lt"/>
              </a:rPr>
              <a:t>Montly Order Value(July - Spetember 2026)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Analysis!$J$2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val>
            <c:numRef>
              <c:f>Analysis!$J$3:$J$5</c:f>
              <c:numCache/>
            </c:numRef>
          </c:val>
        </c:ser>
        <c:axId val="1089504073"/>
        <c:axId val="1021141418"/>
      </c:barChart>
      <c:lineChart>
        <c:varyColors val="0"/>
        <c:ser>
          <c:idx val="1"/>
          <c:order val="1"/>
          <c:tx>
            <c:strRef>
              <c:f>Analysis!$K$2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Analysis!$K$3:$K$5</c:f>
              <c:numCache/>
            </c:numRef>
          </c:val>
          <c:smooth val="0"/>
        </c:ser>
        <c:axId val="1089504073"/>
        <c:axId val="1021141418"/>
      </c:lineChart>
      <c:catAx>
        <c:axId val="10895040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1141418"/>
      </c:catAx>
      <c:valAx>
        <c:axId val="10211414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95040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Order Value by Product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Analysis!$E$1</c:f>
            </c:strRef>
          </c:tx>
          <c:spPr>
            <a:solidFill>
              <a:srgbClr val="4285F4">
                <a:alpha val="90196"/>
              </a:srgbClr>
            </a:solidFill>
            <a:ln cmpd="sng">
              <a:noFill/>
              <a:prstDash val="sysDot"/>
            </a:ln>
          </c:spPr>
          <c:invertIfNegative val="0"/>
          <c:cat>
            <c:strRef>
              <c:f>Analysis!$D$2:$D$5</c:f>
            </c:strRef>
          </c:cat>
          <c:val>
            <c:numRef>
              <c:f>Analysis!$E$2:$E$5</c:f>
              <c:numCache/>
            </c:numRef>
          </c:val>
        </c:ser>
        <c:axId val="1469348782"/>
        <c:axId val="776816935"/>
      </c:barChart>
      <c:catAx>
        <c:axId val="146934878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776816935"/>
      </c:catAx>
      <c:valAx>
        <c:axId val="77681693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Order Value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 i="1" sz="1200">
                <a:solidFill>
                  <a:srgbClr val="000000"/>
                </a:solidFill>
                <a:latin typeface="+mn-lt"/>
              </a:defRPr>
            </a:pPr>
          </a:p>
        </c:txPr>
        <c:crossAx val="146934878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>
                <a:solidFill>
                  <a:srgbClr val="757575"/>
                </a:solidFill>
                <a:latin typeface="+mn-lt"/>
              </a:defRPr>
            </a:pPr>
            <a:r>
              <a:rPr b="1" i="1">
                <a:solidFill>
                  <a:srgbClr val="757575"/>
                </a:solidFill>
                <a:latin typeface="+mn-lt"/>
              </a:rPr>
              <a:t>Product - wise Order Value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Analysis!$E$1</c:f>
            </c:strRef>
          </c:tx>
          <c:dPt>
            <c:idx val="0"/>
            <c:explosion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Analysis!$D$2:$D$5</c:f>
            </c:strRef>
          </c:cat>
          <c:val>
            <c:numRef>
              <c:f>Analysis!$E$2:$E$5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8</xdr:row>
      <xdr:rowOff>180975</xdr:rowOff>
    </xdr:from>
    <xdr:ext cx="4895850" cy="27146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228600</xdr:colOff>
      <xdr:row>5</xdr:row>
      <xdr:rowOff>66675</xdr:rowOff>
    </xdr:from>
    <xdr:ext cx="4895850" cy="25622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485775</xdr:colOff>
      <xdr:row>0</xdr:row>
      <xdr:rowOff>133350</xdr:rowOff>
    </xdr:from>
    <xdr:ext cx="3733800" cy="27908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6" displayName="Table1" name="Table1" id="1">
  <tableColumns count="2">
    <tableColumn name="Metric" id="1"/>
    <tableColumn name="Value" id="2"/>
  </tableColumns>
  <tableStyleInfo name="Analysis-style" showColumnStripes="0" showFirstColumn="1" showLastColumn="1" showRowStripes="1"/>
</table>
</file>

<file path=xl/tables/table2.xml><?xml version="1.0" encoding="utf-8"?>
<table xmlns="http://schemas.openxmlformats.org/spreadsheetml/2006/main" totalsRowCount="1" ref="D1:E6" displayName="Table2" name="Table2" id="2">
  <tableColumns count="2">
    <tableColumn totalsRowLabel="Total" name="Product" id="1"/>
    <tableColumn totalsRowFunction="custom" name="Total Order Value" id="2"/>
  </tableColumns>
  <tableStyleInfo name="Analysis-style 2" showColumnStripes="0" showFirstColumn="1" showLastColumn="1" showRowStripes="1"/>
</table>
</file>

<file path=xl/tables/table3.xml><?xml version="1.0" encoding="utf-8"?>
<table xmlns="http://schemas.openxmlformats.org/spreadsheetml/2006/main" ref="G1:H4" displayName="Table3" name="Table3" id="3">
  <tableColumns count="2">
    <tableColumn name="Order Status" id="1"/>
    <tableColumn name="Number of Status" id="2"/>
  </tableColumns>
  <tableStyleInfo name="Analysis-style 3" showColumnStripes="0" showFirstColumn="1" showLastColumn="1" showRowStripes="1"/>
</table>
</file>

<file path=xl/tables/table4.xml><?xml version="1.0" encoding="utf-8"?>
<table xmlns="http://schemas.openxmlformats.org/spreadsheetml/2006/main" ref="J2:K5" displayName="Table4" name="Table4" id="4">
  <tableColumns count="2">
    <tableColumn name="Month" id="1"/>
    <tableColumn name="Total Order Value " id="2"/>
  </tableColumns>
  <tableStyleInfo name="Analysis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0.38"/>
    <col customWidth="1" min="9" max="9" width="10.88"/>
    <col customWidth="1" min="10" max="10" width="14.0"/>
    <col customWidth="1" min="11" max="1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1" t="s">
        <v>8</v>
      </c>
      <c r="B2" s="3">
        <v>46204.0</v>
      </c>
      <c r="C2" s="2" t="s">
        <v>9</v>
      </c>
      <c r="D2" s="4" t="s">
        <v>10</v>
      </c>
      <c r="E2" s="4">
        <v>100.0</v>
      </c>
      <c r="F2" s="2">
        <v>20.0</v>
      </c>
      <c r="G2" s="5">
        <f t="shared" ref="G2:G21" si="1">E2*F2</f>
        <v>2000</v>
      </c>
      <c r="H2" s="2" t="s">
        <v>11</v>
      </c>
    </row>
    <row r="3">
      <c r="A3" s="1" t="s">
        <v>12</v>
      </c>
      <c r="B3" s="3">
        <v>46206.0</v>
      </c>
      <c r="C3" s="2" t="s">
        <v>13</v>
      </c>
      <c r="D3" s="4" t="s">
        <v>14</v>
      </c>
      <c r="E3" s="4">
        <v>50.0</v>
      </c>
      <c r="F3" s="2">
        <v>40.0</v>
      </c>
      <c r="G3" s="5">
        <f t="shared" si="1"/>
        <v>2000</v>
      </c>
      <c r="H3" s="2" t="s">
        <v>11</v>
      </c>
    </row>
    <row r="4">
      <c r="A4" s="1" t="s">
        <v>15</v>
      </c>
      <c r="B4" s="3">
        <v>46208.0</v>
      </c>
      <c r="C4" s="2" t="s">
        <v>16</v>
      </c>
      <c r="D4" s="4" t="s">
        <v>14</v>
      </c>
      <c r="E4" s="4">
        <v>200.0</v>
      </c>
      <c r="F4" s="2">
        <v>10.0</v>
      </c>
      <c r="G4" s="5">
        <f t="shared" si="1"/>
        <v>2000</v>
      </c>
      <c r="H4" s="2" t="s">
        <v>17</v>
      </c>
    </row>
    <row r="5">
      <c r="A5" s="1" t="s">
        <v>18</v>
      </c>
      <c r="B5" s="3">
        <v>46211.0</v>
      </c>
      <c r="C5" s="2" t="s">
        <v>9</v>
      </c>
      <c r="D5" s="4" t="s">
        <v>10</v>
      </c>
      <c r="E5" s="4">
        <v>150.0</v>
      </c>
      <c r="F5" s="2">
        <v>20.0</v>
      </c>
      <c r="G5" s="5">
        <f t="shared" si="1"/>
        <v>3000</v>
      </c>
      <c r="H5" s="2" t="s">
        <v>19</v>
      </c>
    </row>
    <row r="6">
      <c r="A6" s="1" t="s">
        <v>20</v>
      </c>
      <c r="B6" s="6">
        <v>46215.0</v>
      </c>
      <c r="C6" s="2" t="s">
        <v>21</v>
      </c>
      <c r="D6" s="4" t="s">
        <v>22</v>
      </c>
      <c r="E6" s="4">
        <v>20.0</v>
      </c>
      <c r="F6" s="2">
        <v>150.0</v>
      </c>
      <c r="G6" s="5">
        <f t="shared" si="1"/>
        <v>3000</v>
      </c>
      <c r="H6" s="2" t="s">
        <v>11</v>
      </c>
    </row>
    <row r="7">
      <c r="A7" s="1" t="s">
        <v>23</v>
      </c>
      <c r="B7" s="6">
        <v>46218.0</v>
      </c>
      <c r="C7" s="2" t="s">
        <v>13</v>
      </c>
      <c r="D7" s="4" t="s">
        <v>14</v>
      </c>
      <c r="E7" s="4">
        <v>80.0</v>
      </c>
      <c r="F7" s="2">
        <v>40.0</v>
      </c>
      <c r="G7" s="5">
        <f t="shared" si="1"/>
        <v>3200</v>
      </c>
      <c r="H7" s="2" t="s">
        <v>17</v>
      </c>
    </row>
    <row r="8">
      <c r="A8" s="1" t="s">
        <v>24</v>
      </c>
      <c r="B8" s="6">
        <v>46221.0</v>
      </c>
      <c r="C8" s="2" t="s">
        <v>9</v>
      </c>
      <c r="D8" s="4" t="s">
        <v>10</v>
      </c>
      <c r="E8" s="4">
        <v>200.0</v>
      </c>
      <c r="F8" s="2">
        <v>20.0</v>
      </c>
      <c r="G8" s="5">
        <f t="shared" si="1"/>
        <v>4000</v>
      </c>
      <c r="H8" s="2" t="s">
        <v>11</v>
      </c>
    </row>
    <row r="9">
      <c r="A9" s="1" t="s">
        <v>25</v>
      </c>
      <c r="B9" s="6">
        <v>46225.0</v>
      </c>
      <c r="C9" s="2" t="s">
        <v>16</v>
      </c>
      <c r="D9" s="4" t="s">
        <v>14</v>
      </c>
      <c r="E9" s="4">
        <v>100.0</v>
      </c>
      <c r="F9" s="2">
        <v>10.0</v>
      </c>
      <c r="G9" s="5">
        <f t="shared" si="1"/>
        <v>1000</v>
      </c>
      <c r="H9" s="2" t="s">
        <v>19</v>
      </c>
    </row>
    <row r="10">
      <c r="A10" s="1" t="s">
        <v>26</v>
      </c>
      <c r="B10" s="3">
        <v>46236.0</v>
      </c>
      <c r="C10" s="2" t="s">
        <v>13</v>
      </c>
      <c r="D10" s="4" t="s">
        <v>14</v>
      </c>
      <c r="E10" s="4">
        <v>100.0</v>
      </c>
      <c r="F10" s="2">
        <v>40.0</v>
      </c>
      <c r="G10" s="5">
        <f t="shared" si="1"/>
        <v>4000</v>
      </c>
      <c r="H10" s="2" t="s">
        <v>11</v>
      </c>
    </row>
    <row r="11">
      <c r="A11" s="1" t="s">
        <v>27</v>
      </c>
      <c r="B11" s="3">
        <v>46238.0</v>
      </c>
      <c r="C11" s="2" t="s">
        <v>9</v>
      </c>
      <c r="D11" s="4" t="s">
        <v>10</v>
      </c>
      <c r="E11" s="4">
        <v>120.0</v>
      </c>
      <c r="F11" s="2">
        <v>20.0</v>
      </c>
      <c r="G11" s="5">
        <f t="shared" si="1"/>
        <v>2400</v>
      </c>
      <c r="H11" s="2" t="s">
        <v>17</v>
      </c>
    </row>
    <row r="12">
      <c r="A12" s="1" t="s">
        <v>28</v>
      </c>
      <c r="B12" s="3">
        <v>46241.0</v>
      </c>
      <c r="C12" s="2" t="s">
        <v>21</v>
      </c>
      <c r="D12" s="4" t="s">
        <v>22</v>
      </c>
      <c r="E12" s="4">
        <v>30.0</v>
      </c>
      <c r="F12" s="2">
        <v>150.0</v>
      </c>
      <c r="G12" s="5">
        <f t="shared" si="1"/>
        <v>4500</v>
      </c>
      <c r="H12" s="2" t="s">
        <v>11</v>
      </c>
    </row>
    <row r="13">
      <c r="A13" s="1" t="s">
        <v>29</v>
      </c>
      <c r="B13" s="6">
        <v>46244.0</v>
      </c>
      <c r="C13" s="2" t="s">
        <v>16</v>
      </c>
      <c r="D13" s="4" t="s">
        <v>14</v>
      </c>
      <c r="E13" s="4">
        <v>300.0</v>
      </c>
      <c r="F13" s="2">
        <v>10.0</v>
      </c>
      <c r="G13" s="5">
        <f t="shared" si="1"/>
        <v>3000</v>
      </c>
      <c r="H13" s="2" t="s">
        <v>11</v>
      </c>
    </row>
    <row r="14">
      <c r="A14" s="1" t="s">
        <v>30</v>
      </c>
      <c r="B14" s="6">
        <v>46248.0</v>
      </c>
      <c r="C14" s="2" t="s">
        <v>9</v>
      </c>
      <c r="D14" s="4" t="s">
        <v>10</v>
      </c>
      <c r="E14" s="4">
        <v>180.0</v>
      </c>
      <c r="F14" s="2">
        <v>20.0</v>
      </c>
      <c r="G14" s="5">
        <f t="shared" si="1"/>
        <v>3600</v>
      </c>
      <c r="H14" s="2" t="s">
        <v>19</v>
      </c>
    </row>
    <row r="15">
      <c r="A15" s="1" t="s">
        <v>31</v>
      </c>
      <c r="B15" s="6">
        <v>46253.0</v>
      </c>
      <c r="C15" s="2" t="s">
        <v>13</v>
      </c>
      <c r="D15" s="4" t="s">
        <v>14</v>
      </c>
      <c r="E15" s="4">
        <v>60.0</v>
      </c>
      <c r="F15" s="2">
        <v>40.0</v>
      </c>
      <c r="G15" s="5">
        <f t="shared" si="1"/>
        <v>2400</v>
      </c>
      <c r="H15" s="2" t="s">
        <v>17</v>
      </c>
    </row>
    <row r="16">
      <c r="A16" s="1" t="s">
        <v>32</v>
      </c>
      <c r="B16" s="6">
        <v>46257.0</v>
      </c>
      <c r="C16" s="2" t="s">
        <v>21</v>
      </c>
      <c r="D16" s="4" t="s">
        <v>22</v>
      </c>
      <c r="E16" s="4">
        <v>15.0</v>
      </c>
      <c r="F16" s="2">
        <v>150.0</v>
      </c>
      <c r="G16" s="5">
        <f t="shared" si="1"/>
        <v>2250</v>
      </c>
      <c r="H16" s="2" t="s">
        <v>11</v>
      </c>
    </row>
    <row r="17">
      <c r="A17" s="1" t="s">
        <v>34</v>
      </c>
      <c r="B17" s="3">
        <v>46268.0</v>
      </c>
      <c r="C17" s="2" t="s">
        <v>9</v>
      </c>
      <c r="D17" s="4" t="s">
        <v>10</v>
      </c>
      <c r="E17" s="4">
        <v>250.0</v>
      </c>
      <c r="F17" s="2">
        <v>20.0</v>
      </c>
      <c r="G17" s="5">
        <f t="shared" si="1"/>
        <v>5000</v>
      </c>
      <c r="H17" s="2" t="s">
        <v>11</v>
      </c>
    </row>
    <row r="18">
      <c r="A18" s="1" t="s">
        <v>35</v>
      </c>
      <c r="B18" s="3">
        <v>46271.0</v>
      </c>
      <c r="C18" s="2" t="s">
        <v>16</v>
      </c>
      <c r="D18" s="4" t="s">
        <v>14</v>
      </c>
      <c r="E18" s="4">
        <v>250.0</v>
      </c>
      <c r="F18" s="2">
        <v>10.0</v>
      </c>
      <c r="G18" s="5">
        <f t="shared" si="1"/>
        <v>2500</v>
      </c>
      <c r="H18" s="2" t="s">
        <v>17</v>
      </c>
    </row>
    <row r="19">
      <c r="A19" s="1" t="s">
        <v>36</v>
      </c>
      <c r="B19" s="6">
        <v>46276.0</v>
      </c>
      <c r="C19" s="2" t="s">
        <v>13</v>
      </c>
      <c r="D19" s="4" t="s">
        <v>14</v>
      </c>
      <c r="E19" s="4">
        <v>90.0</v>
      </c>
      <c r="F19" s="2">
        <v>40.0</v>
      </c>
      <c r="G19" s="5">
        <f t="shared" si="1"/>
        <v>3600</v>
      </c>
      <c r="H19" s="2" t="s">
        <v>19</v>
      </c>
    </row>
    <row r="20">
      <c r="A20" s="1" t="s">
        <v>37</v>
      </c>
      <c r="B20" s="6">
        <v>46282.0</v>
      </c>
      <c r="C20" s="2" t="s">
        <v>21</v>
      </c>
      <c r="D20" s="4" t="s">
        <v>22</v>
      </c>
      <c r="E20" s="4">
        <v>25.0</v>
      </c>
      <c r="F20" s="2">
        <v>150.0</v>
      </c>
      <c r="G20" s="5">
        <f t="shared" si="1"/>
        <v>3750</v>
      </c>
      <c r="H20" s="2" t="s">
        <v>11</v>
      </c>
    </row>
    <row r="21">
      <c r="A21" s="1" t="s">
        <v>39</v>
      </c>
      <c r="B21" s="6">
        <v>46289.0</v>
      </c>
      <c r="C21" s="2" t="s">
        <v>9</v>
      </c>
      <c r="D21" s="4" t="s">
        <v>10</v>
      </c>
      <c r="E21" s="4">
        <v>160.0</v>
      </c>
      <c r="F21" s="2">
        <v>20.0</v>
      </c>
      <c r="G21" s="5">
        <f t="shared" si="1"/>
        <v>3200</v>
      </c>
      <c r="H21" s="2" t="s">
        <v>17</v>
      </c>
    </row>
  </sheetData>
  <autoFilter ref="$A$1:$A$2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16.75"/>
    <col customWidth="1" min="4" max="4" width="13.38"/>
    <col customWidth="1" min="5" max="5" width="18.25"/>
    <col customWidth="1" min="7" max="7" width="14.75"/>
    <col customWidth="1" min="8" max="8" width="18.63"/>
    <col customWidth="1" min="10" max="10" width="13.5"/>
    <col customWidth="1" min="11" max="11" width="18.63"/>
  </cols>
  <sheetData>
    <row r="1" ht="22.5" customHeight="1">
      <c r="A1" s="7" t="s">
        <v>33</v>
      </c>
      <c r="B1" s="7" t="s">
        <v>38</v>
      </c>
      <c r="D1" s="8" t="s">
        <v>2</v>
      </c>
      <c r="E1" s="8" t="s">
        <v>40</v>
      </c>
      <c r="G1" s="8" t="s">
        <v>7</v>
      </c>
      <c r="H1" s="8" t="s">
        <v>41</v>
      </c>
    </row>
    <row r="2" ht="22.5" customHeight="1">
      <c r="A2" s="9" t="s">
        <v>42</v>
      </c>
      <c r="B2" s="10">
        <f>COUNTA(Order_data!A2:A21)</f>
        <v>20</v>
      </c>
      <c r="D2" s="9" t="s">
        <v>9</v>
      </c>
      <c r="E2" s="10">
        <f>SUMIF(Order_data!C$2:C$21,D2,Order_data!G$2:G$21)</f>
        <v>23200</v>
      </c>
      <c r="G2" s="9" t="s">
        <v>11</v>
      </c>
      <c r="H2" s="10">
        <f>COUNTIF(Order_data!H$2:H$21,G2)</f>
        <v>10</v>
      </c>
      <c r="J2" s="8" t="s">
        <v>43</v>
      </c>
      <c r="K2" s="8" t="s">
        <v>44</v>
      </c>
    </row>
    <row r="3" ht="22.5" customHeight="1">
      <c r="A3" s="9" t="s">
        <v>40</v>
      </c>
      <c r="B3" s="10">
        <f>SUM(Order_data!G2:G21)</f>
        <v>60400</v>
      </c>
      <c r="D3" s="9" t="s">
        <v>45</v>
      </c>
      <c r="E3" s="10">
        <f>SUMIF(Order_data!C$2:C$21,D3,Order_data!G$2:G$21)</f>
        <v>13500</v>
      </c>
      <c r="G3" s="9" t="s">
        <v>17</v>
      </c>
      <c r="H3" s="10">
        <f>COUNTIF(Order_data!H$2:H$21,G3)</f>
        <v>6</v>
      </c>
      <c r="J3" s="11">
        <v>46204.0</v>
      </c>
      <c r="K3" s="10">
        <f>SUMIFS(Order_data!G$2:G$21,Order_data!B$2:B$21,"&gt;="&amp;J3,Order_data!B$2:B$21,"&lt;"&amp;EDATE(J3,1))</f>
        <v>20200</v>
      </c>
    </row>
    <row r="4" ht="22.5" customHeight="1">
      <c r="A4" s="9" t="s">
        <v>46</v>
      </c>
      <c r="B4" s="10">
        <f>COUNTIF(Order_data!H2:H21,"Completed")</f>
        <v>10</v>
      </c>
      <c r="D4" s="9" t="s">
        <v>13</v>
      </c>
      <c r="E4" s="10">
        <f>SUMIF(Order_data!C$2:C$21,D4,Order_data!G$2:G$21)</f>
        <v>15200</v>
      </c>
      <c r="G4" s="9" t="s">
        <v>19</v>
      </c>
      <c r="H4" s="10">
        <f>COUNTIF(Order_data!H$2:H$21,G4)</f>
        <v>4</v>
      </c>
      <c r="J4" s="11">
        <v>46235.0</v>
      </c>
      <c r="K4" s="10">
        <f>SUMIFS(Order_data!G$2:G$21,Order_data!B$2:B$21,"&gt;="&amp;J4,Order_data!B$2:B$21,"&lt;"&amp;EDATE(J4,1))</f>
        <v>22150</v>
      </c>
    </row>
    <row r="5" ht="22.5" customHeight="1">
      <c r="A5" s="9" t="s">
        <v>47</v>
      </c>
      <c r="B5" s="10">
        <f>COUNTIF(Order_data!H2:H21,"Pending")</f>
        <v>6</v>
      </c>
      <c r="D5" s="9" t="s">
        <v>16</v>
      </c>
      <c r="E5" s="10">
        <f>SUMIF(Order_data!C$2:C$21,D5,Order_data!G$2:G$21)</f>
        <v>8500</v>
      </c>
      <c r="J5" s="11">
        <v>46266.0</v>
      </c>
      <c r="K5" s="10">
        <f>SUMIFS(Order_data!G$2:G$21,Order_data!B$2:B$21,"&gt;="&amp;J5,Order_data!B$2:B$21,"&lt;"&amp;EDATE(J5,1))</f>
        <v>18050</v>
      </c>
    </row>
    <row r="6" ht="22.5" customHeight="1">
      <c r="A6" s="9" t="s">
        <v>48</v>
      </c>
      <c r="B6" s="10">
        <f>COUNTIF(Order_data!H2:H21,"Processing")</f>
        <v>4</v>
      </c>
      <c r="D6" s="9" t="s">
        <v>49</v>
      </c>
      <c r="E6" s="10">
        <f>SUM(E2:E5)</f>
        <v>60400</v>
      </c>
    </row>
    <row r="8">
      <c r="A8" s="12"/>
    </row>
    <row r="9">
      <c r="A9" s="2"/>
    </row>
    <row r="13">
      <c r="A13" s="5">
        <f>COUNTIF(Order_data!H2:H21,"Completed")</f>
        <v>10</v>
      </c>
    </row>
  </sheetData>
  <dataValidations>
    <dataValidation type="custom" allowBlank="1" showDropDown="1" sqref="J3:J5">
      <formula1>OR(NOT(ISERROR(DATEVALUE(J3))), AND(ISNUMBER(J3), LEFT(CELL("format", J3))="D"))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25"/>
    <col customWidth="1" min="4" max="4" width="16.88"/>
    <col customWidth="1" min="7" max="7" width="13.25"/>
    <col customWidth="1" min="8" max="8" width="12.75"/>
  </cols>
  <sheetData>
    <row r="1">
      <c r="A1" s="13" t="s">
        <v>50</v>
      </c>
      <c r="E1" s="14"/>
      <c r="F1" s="14"/>
      <c r="G1" s="14"/>
      <c r="H1" s="14"/>
    </row>
    <row r="2">
      <c r="E2" s="14"/>
      <c r="F2" s="14"/>
      <c r="G2" s="14"/>
      <c r="H2" s="14"/>
    </row>
    <row r="5">
      <c r="A5" s="15" t="s">
        <v>51</v>
      </c>
      <c r="C5" s="16" t="s">
        <v>52</v>
      </c>
    </row>
    <row r="6">
      <c r="A6" s="17">
        <f>Analysis!B2</f>
        <v>20</v>
      </c>
      <c r="C6" s="18">
        <f>Analysis!B3</f>
        <v>60400</v>
      </c>
    </row>
    <row r="7">
      <c r="A7" s="19" t="s">
        <v>53</v>
      </c>
      <c r="C7" s="20" t="s">
        <v>54</v>
      </c>
    </row>
    <row r="8">
      <c r="A8" s="21">
        <f>Analysis!B4</f>
        <v>10</v>
      </c>
      <c r="C8" s="22">
        <f>Analysis!B5</f>
        <v>6</v>
      </c>
    </row>
  </sheetData>
  <mergeCells count="9">
    <mergeCell ref="A8:B8"/>
    <mergeCell ref="C8:D8"/>
    <mergeCell ref="A1:D3"/>
    <mergeCell ref="A5:B5"/>
    <mergeCell ref="C5:D5"/>
    <mergeCell ref="A6:B6"/>
    <mergeCell ref="C6:D6"/>
    <mergeCell ref="A7:B7"/>
    <mergeCell ref="C7:D7"/>
  </mergeCells>
  <drawing r:id="rId1"/>
</worksheet>
</file>